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QL Programs" sheetId="2" r:id="rId2"/>
    <sheet name="SQL Script Categories" sheetId="3" r:id="rId3"/>
    <sheet name="UNKNOWN SQL Category" sheetId="4" r:id="rId4"/>
    <sheet name="SQL Special Patterns" sheetId="5" r:id="rId5"/>
    <sheet name="Functions" sheetId="6" r:id="rId6"/>
    <sheet name="Functions by Script" sheetId="7" r:id="rId7"/>
    <sheet name="Scripts Functions Xref" sheetId="8" r:id="rId8"/>
    <sheet name="RAW_PROGRAM_PARAM_LIST" sheetId="9" r:id="rId9"/>
    <sheet name="SQL Data Types" sheetId="10" r:id="rId10"/>
  </sheets>
  <definedNames>
    <definedName name="_xlnm._FilterDatabase" localSheetId="5" hidden="1">Functions!$A$1:$B$6</definedName>
    <definedName name="_xlnm._FilterDatabase" localSheetId="8" hidden="1">RAW_PROGRAM_PARAM_LIST!$A$1:$C$7</definedName>
    <definedName name="_xlnm._FilterDatabase" localSheetId="9" hidden="1">'SQL Data Types'!$A$1:$B$2</definedName>
    <definedName name="_xlnm._FilterDatabase" localSheetId="1" hidden="1">'SQL Programs'!$A$1:$L$2</definedName>
    <definedName name="_xlnm._FilterDatabase" localSheetId="2" hidden="1">'SQL Script Categories'!$A$1:$B$8</definedName>
    <definedName name="_xlnm._FilterDatabase" localSheetId="4" hidden="1">'SQL Special Patterns'!$A$1:$E$1</definedName>
    <definedName name="_xlnm._FilterDatabase" localSheetId="3" hidden="1">'UNKNOWN SQL Category'!$A$1:$B$3</definedName>
  </definedNames>
  <calcPr calcId="124519" fullCalcOnLoad="1"/>
</workbook>
</file>

<file path=xl/sharedStrings.xml><?xml version="1.0" encoding="utf-8"?>
<sst xmlns="http://schemas.openxmlformats.org/spreadsheetml/2006/main" count="139" uniqueCount="107">
  <si>
    <t>Run date/time: 2025-11-20 14:04:58</t>
  </si>
  <si>
    <t>Code Base Details</t>
  </si>
  <si>
    <t>Total SQL Scripts</t>
  </si>
  <si>
    <t>Total FILE Scripts</t>
  </si>
  <si>
    <t>Total DDLs</t>
  </si>
  <si>
    <t>Total CTAS Scripts</t>
  </si>
  <si>
    <t>Total Tables (in scripts)</t>
  </si>
  <si>
    <t>Total Views</t>
  </si>
  <si>
    <t>Total Materialized Views</t>
  </si>
  <si>
    <t>Total Indicies</t>
  </si>
  <si>
    <t>Total Packages</t>
  </si>
  <si>
    <t>Total Procedures</t>
  </si>
  <si>
    <t>Total Functions</t>
  </si>
  <si>
    <t>Total Triggers</t>
  </si>
  <si>
    <t>Total Dynamic SQL Calls</t>
  </si>
  <si>
    <t>Total Loops &amp; Cursors</t>
  </si>
  <si>
    <t>Total Conditionals</t>
  </si>
  <si>
    <t>Total MLOAD Scripts</t>
  </si>
  <si>
    <t>Total FLOAD Scripts</t>
  </si>
  <si>
    <t>Total Lines of Code</t>
  </si>
  <si>
    <t>Total Duplicated SQL Items</t>
  </si>
  <si>
    <t>Analyzer Version: 5.6.5 Build 20250924</t>
  </si>
  <si>
    <t>Command Line Options:</t>
  </si>
  <si>
    <t>Option</t>
  </si>
  <si>
    <t>Value</t>
  </si>
  <si>
    <t>-E</t>
  </si>
  <si>
    <t>-F</t>
  </si>
  <si>
    <t>-d</t>
  </si>
  <si>
    <t>D:/lakebridge-accelerator/temp/step6_inputs/20251120_140454</t>
  </si>
  <si>
    <t>-e</t>
  </si>
  <si>
    <t>-r</t>
  </si>
  <si>
    <t>C:\Users\WS_HTU~1\AppData\Local\Temp\tmp07qp2ig8\analyzer_report_20251120_140454.xlsx</t>
  </si>
  <si>
    <t>-t</t>
  </si>
  <si>
    <t>SQL</t>
  </si>
  <si>
    <t>Analyzer run duration:</t>
  </si>
  <si>
    <t>0h, 0m, 0s</t>
  </si>
  <si>
    <t>Program Name</t>
  </si>
  <si>
    <t>Source File</t>
  </si>
  <si>
    <t>Included</t>
  </si>
  <si>
    <t>Line Count</t>
  </si>
  <si>
    <t>Complexity</t>
  </si>
  <si>
    <t>Statement Count</t>
  </si>
  <si>
    <t>Procedure And Function Counts</t>
  </si>
  <si>
    <t>Script Category</t>
  </si>
  <si>
    <t>Categorization Metrics</t>
  </si>
  <si>
    <t>Legacy Checksum</t>
  </si>
  <si>
    <t>Checksum Extended</t>
  </si>
  <si>
    <t>Script Type</t>
  </si>
  <si>
    <t>pop.sql</t>
  </si>
  <si>
    <t>D:/lakebridge-accelerator/temp/step6_inputs/20251120_140454/pop.sql</t>
  </si>
  <si>
    <t>YES</t>
  </si>
  <si>
    <t>LOW</t>
  </si>
  <si>
    <t>CREATE_PROCEDURE,DELETE,DYNAMIC_SQL,INSERT_INTO,UNKNOWN,VAR_ASSIGNMENT,VAR_DECLARE</t>
  </si>
  <si>
    <t>Total Statement count: 12, Conventional Statement count: 8, Simple Statement count: 4, Pivot functions: 0, XML functions: 0, Loops: 0, Medium category breaks: 0, High category breaks: 0</t>
  </si>
  <si>
    <t>B3B87339F882E297157D5742ECC674F7</t>
  </si>
  <si>
    <t>257ae08e304064f0a5a1c55e50cc096b46873f5435fb10ae57a766a9c07d34641774c30a7915130180bab3f2fc8068c1a7bf90f3d86a967f38103e08d0777133eb91626df0d17f9c</t>
  </si>
  <si>
    <t>ETL</t>
  </si>
  <si>
    <t>SQL Script Categories</t>
  </si>
  <si>
    <t># of Occurrences</t>
  </si>
  <si>
    <t>CREATE_PROCEDURE</t>
  </si>
  <si>
    <t>DELETE</t>
  </si>
  <si>
    <t>DYNAMIC_SQL</t>
  </si>
  <si>
    <t>INSERT_INTO</t>
  </si>
  <si>
    <t>UNKNOWN</t>
  </si>
  <si>
    <t>VAR_ASSIGNMENT</t>
  </si>
  <si>
    <t>VAR_DECLARE</t>
  </si>
  <si>
    <t>SQL unknown category scripts</t>
  </si>
  <si>
    <t>END;</t>
  </si>
  <si>
    <t>GO;</t>
  </si>
  <si>
    <t>Job Complexity Categorization</t>
  </si>
  <si>
    <t>Procedure or Function</t>
  </si>
  <si>
    <t>MEDIUM</t>
  </si>
  <si>
    <t>COMPLEX</t>
  </si>
  <si>
    <t>VERY_COMPLEX</t>
  </si>
  <si>
    <t>Name</t>
  </si>
  <si>
    <t>Pattern Type</t>
  </si>
  <si>
    <t>Source Node</t>
  </si>
  <si>
    <t>Target Node</t>
  </si>
  <si>
    <t>Additional Info</t>
  </si>
  <si>
    <t>Function</t>
  </si>
  <si>
    <t># of Calls</t>
  </si>
  <si>
    <t>NVARCHAR</t>
  </si>
  <si>
    <t>GETDATE</t>
  </si>
  <si>
    <t>EXEC</t>
  </si>
  <si>
    <t>DATEDIFF</t>
  </si>
  <si>
    <t>CONVERT</t>
  </si>
  <si>
    <t>Script</t>
  </si>
  <si>
    <t>Program</t>
  </si>
  <si>
    <t>Parameter Name</t>
  </si>
  <si>
    <t>Count</t>
  </si>
  <si>
    <t>@As_On_Date</t>
  </si>
  <si>
    <t>@SchemaName</t>
  </si>
  <si>
    <t>@query1</t>
  </si>
  <si>
    <t>@query_from</t>
  </si>
  <si>
    <t>@query_ins</t>
  </si>
  <si>
    <t>@query_where</t>
  </si>
  <si>
    <t>DDL DataType</t>
  </si>
  <si>
    <t>Worksheet Index</t>
  </si>
  <si>
    <t>Summary</t>
  </si>
  <si>
    <t>SQL Programs</t>
  </si>
  <si>
    <t>UNKNOWN SQL Category</t>
  </si>
  <si>
    <t>SQL Special Patterns</t>
  </si>
  <si>
    <t>Functions</t>
  </si>
  <si>
    <t>Functions by Script</t>
  </si>
  <si>
    <t>Scripts Functions Xref</t>
  </si>
  <si>
    <t>RAW_PROGRAM_PARAM_LIST</t>
  </si>
  <si>
    <t>SQL Data Types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</si>
</sst>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u/>
      <sz val="9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000000"/>
      </font>
      <fill>
        <patternFill>
          <bgColor rgb="FFE6B8B7"/>
        </patternFill>
      </fill>
    </dxf>
  </dxfs>
  <tableStyles count="0" defaultTableStyle="TableStyleMedium9" defaultPivotStyle="PivotStyleLight16"/>
  <colors>
    <mruColors>
      <color rgb="FFD9D9D9"/>
    </mru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cols>
    <col min="1" max="1" width="25.7109375" customWidth="1"/>
    <col min="2" max="2" width="10.7109375" customWidth="1"/>
    <col min="3" max="3" width="20.7109375" customWidth="1"/>
    <col min="4" max="4" width="70.7109375" customWidth="1"/>
    <col min="5" max="5" width="10.7109375" customWidth="1"/>
    <col min="6" max="6" width="40.7109375" customWidth="1"/>
  </cols>
  <sheetData>
    <row r="1" spans="1:6">
      <c r="A1" s="1" t="s">
        <v>0</v>
      </c>
      <c r="B1" s="1"/>
      <c r="D1" s="2" t="s">
        <v>97</v>
      </c>
      <c r="E1" s="2" t="s">
        <v>21</v>
      </c>
      <c r="F1" s="2"/>
    </row>
    <row r="2" spans="1:6">
      <c r="D2" s="3" t="s">
        <v>98</v>
      </c>
      <c r="E2" s="2" t="s">
        <v>22</v>
      </c>
      <c r="F2" s="2"/>
    </row>
    <row r="3" spans="1:6">
      <c r="A3" s="4" t="s">
        <v>1</v>
      </c>
      <c r="B3" s="4"/>
      <c r="D3" s="3" t="s">
        <v>99</v>
      </c>
      <c r="E3" s="2" t="s">
        <v>23</v>
      </c>
      <c r="F3" s="2" t="s">
        <v>24</v>
      </c>
    </row>
    <row r="4" spans="1:6">
      <c r="A4" s="1" t="s">
        <v>2</v>
      </c>
      <c r="B4" s="5">
        <v>1</v>
      </c>
      <c r="D4" s="3" t="s">
        <v>57</v>
      </c>
      <c r="E4" s="2" t="s">
        <v>25</v>
      </c>
      <c r="F4" s="6"/>
    </row>
    <row r="5" spans="1:6">
      <c r="A5" s="1" t="s">
        <v>3</v>
      </c>
      <c r="B5" s="5">
        <v>1</v>
      </c>
      <c r="D5" s="3" t="s">
        <v>100</v>
      </c>
      <c r="E5" s="2" t="s">
        <v>26</v>
      </c>
      <c r="F5" s="6">
        <v>10000000000000</v>
      </c>
    </row>
    <row r="6" spans="1:6">
      <c r="A6" s="1" t="s">
        <v>4</v>
      </c>
      <c r="B6" s="5">
        <v>0</v>
      </c>
      <c r="D6" s="3" t="s">
        <v>101</v>
      </c>
      <c r="E6" s="2" t="s">
        <v>27</v>
      </c>
      <c r="F6" s="6" t="s">
        <v>28</v>
      </c>
    </row>
    <row r="7" spans="1:6">
      <c r="A7" s="1" t="s">
        <v>5</v>
      </c>
      <c r="B7" s="5">
        <v>0</v>
      </c>
      <c r="D7" s="3" t="s">
        <v>102</v>
      </c>
      <c r="E7" s="2" t="s">
        <v>29</v>
      </c>
      <c r="F7" s="6">
        <v>1</v>
      </c>
    </row>
    <row r="8" spans="1:6">
      <c r="A8" s="1" t="s">
        <v>6</v>
      </c>
      <c r="B8" s="5">
        <v>0</v>
      </c>
      <c r="D8" s="3" t="s">
        <v>103</v>
      </c>
      <c r="E8" s="2" t="s">
        <v>30</v>
      </c>
      <c r="F8" s="6" t="s">
        <v>31</v>
      </c>
    </row>
    <row r="9" spans="1:6">
      <c r="A9" s="1" t="s">
        <v>7</v>
      </c>
      <c r="B9" s="5">
        <v>0</v>
      </c>
      <c r="D9" s="3" t="s">
        <v>104</v>
      </c>
      <c r="E9" s="2" t="s">
        <v>32</v>
      </c>
      <c r="F9" s="6" t="s">
        <v>33</v>
      </c>
    </row>
    <row r="10" spans="1:6">
      <c r="A10" s="1" t="s">
        <v>8</v>
      </c>
      <c r="B10" s="5">
        <v>0</v>
      </c>
      <c r="D10" s="3" t="s">
        <v>105</v>
      </c>
      <c r="E10" s="2" t="s">
        <v>34</v>
      </c>
    </row>
    <row r="11" spans="1:6">
      <c r="A11" s="1" t="s">
        <v>9</v>
      </c>
      <c r="B11" s="5">
        <v>0</v>
      </c>
      <c r="D11" s="3" t="s">
        <v>106</v>
      </c>
      <c r="E11" s="6" t="s">
        <v>35</v>
      </c>
    </row>
    <row r="12" spans="1:6">
      <c r="A12" s="1" t="s">
        <v>10</v>
      </c>
      <c r="B12" s="5">
        <v>0</v>
      </c>
    </row>
    <row r="13" spans="1:6">
      <c r="A13" s="1" t="s">
        <v>11</v>
      </c>
      <c r="B13" s="5">
        <v>1</v>
      </c>
    </row>
    <row r="14" spans="1:6">
      <c r="A14" s="1" t="s">
        <v>12</v>
      </c>
      <c r="B14" s="5">
        <v>0</v>
      </c>
    </row>
    <row r="15" spans="1:6">
      <c r="A15" s="1" t="s">
        <v>13</v>
      </c>
      <c r="B15" s="5">
        <v>0</v>
      </c>
    </row>
    <row r="16" spans="1:6">
      <c r="A16" s="1" t="s">
        <v>14</v>
      </c>
      <c r="B16" s="5">
        <v>0</v>
      </c>
    </row>
    <row r="17" spans="1:3">
      <c r="A17" s="1" t="s">
        <v>15</v>
      </c>
      <c r="B17" s="5">
        <v>0</v>
      </c>
    </row>
    <row r="18" spans="1:3">
      <c r="A18" s="1" t="s">
        <v>16</v>
      </c>
      <c r="B18" s="5">
        <v>0</v>
      </c>
    </row>
    <row r="19" spans="1:3">
      <c r="A19" s="1" t="s">
        <v>17</v>
      </c>
      <c r="B19" s="5">
        <v>0</v>
      </c>
    </row>
    <row r="20" spans="1:3">
      <c r="A20" s="1" t="s">
        <v>18</v>
      </c>
      <c r="B20" s="5">
        <v>0</v>
      </c>
    </row>
    <row r="21" spans="1:3">
      <c r="A21" s="1" t="s">
        <v>19</v>
      </c>
      <c r="B21" s="5">
        <v>114</v>
      </c>
    </row>
    <row r="22" spans="1:3">
      <c r="A22" s="1" t="s">
        <v>20</v>
      </c>
      <c r="B22" s="5">
        <v>0</v>
      </c>
    </row>
    <row r="24" spans="1:3">
      <c r="A24" s="4" t="s">
        <v>33</v>
      </c>
      <c r="B24" s="4"/>
      <c r="C24" s="4" t="s">
        <v>56</v>
      </c>
    </row>
    <row r="25" spans="1:3">
      <c r="A25" s="4" t="s">
        <v>69</v>
      </c>
      <c r="B25" s="4"/>
      <c r="C25" s="4" t="s">
        <v>70</v>
      </c>
    </row>
    <row r="26" spans="1:3">
      <c r="A26" s="1" t="s">
        <v>51</v>
      </c>
      <c r="B26" s="5">
        <f>COUNTIFS('SQL Programs'!E:E,"LOW",'SQL Programs'!C:C,"YES",'SQL Programs'!L:L,"SQL")</f>
        <v>0</v>
      </c>
      <c r="C26" s="5">
        <f>SUMIFS('SQL Programs'!G:G,'SQL Programs'!E:E,"LOW",'SQL Programs'!C:C,"YES",'SQL Programs'!L:L,"ETL")</f>
        <v>0</v>
      </c>
    </row>
    <row r="27" spans="1:3">
      <c r="A27" s="1" t="s">
        <v>71</v>
      </c>
      <c r="B27" s="5">
        <f>COUNTIFS('SQL Programs'!E:E,"MEDIUM",'SQL Programs'!C:C,"YES",'SQL Programs'!L:L,"SQL")</f>
        <v>0</v>
      </c>
      <c r="C27" s="5">
        <f>SUMIFS('SQL Programs'!G:G,'SQL Programs'!E:E,"MEDIUM",'SQL Programs'!C:C,"YES",'SQL Programs'!L:L,"ETL")</f>
        <v>0</v>
      </c>
    </row>
    <row r="28" spans="1:3">
      <c r="A28" s="1" t="s">
        <v>72</v>
      </c>
      <c r="B28" s="5">
        <f>COUNTIFS('SQL Programs'!E:E,"COMPLEX",'SQL Programs'!C:C,"YES",'SQL Programs'!L:L,"SQL")</f>
        <v>0</v>
      </c>
      <c r="C28" s="5">
        <f>SUMIFS('SQL Programs'!G:G,'SQL Programs'!E:E,"COMPLEX",'SQL Programs'!C:C,"YES",'SQL Programs'!L:L,"ETL")</f>
        <v>0</v>
      </c>
    </row>
    <row r="29" spans="1:3">
      <c r="A29" s="1" t="s">
        <v>73</v>
      </c>
      <c r="B29" s="5">
        <f>COUNTIFS('SQL Programs'!E:E,"VERY_COMPLEX",'SQL Programs'!C:C,"YES",'SQL Programs'!L:L,"SQL")</f>
        <v>0</v>
      </c>
      <c r="C29" s="5">
        <f>SUMIFS('SQL Programs'!G:G,'SQL Programs'!E:E,"VERY_COMPLEX",'SQL Programs'!C:C,"YES",'SQL Programs'!L:L,"ETL")</f>
        <v>0</v>
      </c>
    </row>
  </sheetData>
  <mergeCells count="6">
    <mergeCell ref="A1:B1"/>
    <mergeCell ref="A3:B3"/>
    <mergeCell ref="E1:F1"/>
    <mergeCell ref="E2:F2"/>
    <mergeCell ref="A24:B24"/>
    <mergeCell ref="A25:B25"/>
  </mergeCells>
  <hyperlinks>
    <hyperlink ref="D2" location="'Summary'!A1" display="Summary"/>
    <hyperlink ref="D3" location="'SQL Programs'!A1" display="SQL Programs"/>
    <hyperlink ref="D4" location="'SQL Script Categories'!A1" display="SQL Script Categories"/>
    <hyperlink ref="D5" location="'UNKNOWN SQL Category'!A1" display="UNKNOWN SQL Category"/>
    <hyperlink ref="D6" location="'SQL Special Patterns'!A1" display="SQL Special Patterns"/>
    <hyperlink ref="D7" location="'Functions'!A1" display="Functions"/>
    <hyperlink ref="D8" location="'Functions by Script'!A1" display="Functions by Script"/>
    <hyperlink ref="D9" location="'Scripts Functions Xref'!A1" display="Scripts Functions Xref"/>
    <hyperlink ref="D10" location="'RAW_PROGRAM_PARAM_LIST'!A1" display="RAW_PROGRAM_PARAM_LIST"/>
    <hyperlink ref="D11" location="'SQL Data Types'!A1" display="SQL Data Type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  <col min="3" max="4" width="10.7109375" customWidth="1"/>
    <col min="5" max="6" width="15.7109375" customWidth="1"/>
    <col min="7" max="7" width="25.7109375" customWidth="1"/>
    <col min="8" max="8" width="30.7109375" customWidth="1"/>
    <col min="9" max="11" width="100.7109375" customWidth="1"/>
    <col min="12" max="12" width="30.7109375" customWidth="1"/>
  </cols>
  <sheetData>
    <row r="1" spans="1:12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</row>
    <row r="2" spans="1:12">
      <c r="A2" s="6" t="s">
        <v>48</v>
      </c>
      <c r="B2" s="6" t="s">
        <v>49</v>
      </c>
      <c r="C2" s="6" t="s">
        <v>50</v>
      </c>
      <c r="D2" s="6">
        <v>114</v>
      </c>
      <c r="E2" s="6" t="s">
        <v>51</v>
      </c>
      <c r="F2" s="6">
        <v>12</v>
      </c>
      <c r="G2" s="6">
        <v>1</v>
      </c>
      <c r="H2" s="6" t="s">
        <v>52</v>
      </c>
      <c r="I2" s="6" t="s">
        <v>53</v>
      </c>
      <c r="J2" s="6" t="s">
        <v>54</v>
      </c>
      <c r="K2" s="6" t="s">
        <v>55</v>
      </c>
      <c r="L2" s="6" t="s">
        <v>56</v>
      </c>
    </row>
  </sheetData>
  <autoFilter ref="A1:L2"/>
  <conditionalFormatting sqref="A2:I9999">
    <cfRule type="expression" dxfId="0" priority="1">
      <formula>AND($A2 &lt;&gt; "", $C2 &lt;&gt; "YES")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57</v>
      </c>
      <c r="B1" s="2" t="s">
        <v>58</v>
      </c>
    </row>
    <row r="2" spans="1:2">
      <c r="A2" s="6" t="s">
        <v>59</v>
      </c>
      <c r="B2" s="6">
        <v>1</v>
      </c>
    </row>
    <row r="3" spans="1:2">
      <c r="A3" s="6" t="s">
        <v>60</v>
      </c>
      <c r="B3" s="6">
        <v>1</v>
      </c>
    </row>
    <row r="4" spans="1:2">
      <c r="A4" s="6" t="s">
        <v>61</v>
      </c>
      <c r="B4" s="6">
        <v>2</v>
      </c>
    </row>
    <row r="5" spans="1:2">
      <c r="A5" s="6" t="s">
        <v>62</v>
      </c>
      <c r="B5" s="6">
        <v>1</v>
      </c>
    </row>
    <row r="6" spans="1:2">
      <c r="A6" s="6" t="s">
        <v>63</v>
      </c>
      <c r="B6" s="6">
        <v>2</v>
      </c>
    </row>
    <row r="7" spans="1:2">
      <c r="A7" s="6" t="s">
        <v>64</v>
      </c>
      <c r="B7" s="6">
        <v>4</v>
      </c>
    </row>
    <row r="8" spans="1:2">
      <c r="A8" s="6" t="s">
        <v>65</v>
      </c>
      <c r="B8" s="6">
        <v>1</v>
      </c>
    </row>
  </sheetData>
  <autoFilter ref="A1:B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0.7109375" customWidth="1"/>
    <col min="2" max="2" width="30.7109375" customWidth="1"/>
  </cols>
  <sheetData>
    <row r="1" spans="1:2">
      <c r="A1" s="2" t="s">
        <v>66</v>
      </c>
      <c r="B1" s="2" t="s">
        <v>58</v>
      </c>
    </row>
    <row r="2" spans="1:2">
      <c r="A2" s="6" t="s">
        <v>67</v>
      </c>
      <c r="B2" s="6">
        <v>1</v>
      </c>
    </row>
    <row r="3" spans="1:2">
      <c r="A3" s="6" t="s">
        <v>68</v>
      </c>
      <c r="B3" s="6">
        <v>1</v>
      </c>
    </row>
  </sheetData>
  <autoFilter ref="A1:B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50.7109375" customWidth="1"/>
    <col min="2" max="2" width="20.7109375" customWidth="1"/>
    <col min="3" max="4" width="30.7109375" customWidth="1"/>
    <col min="5" max="5" width="20.7109375" customWidth="1"/>
  </cols>
  <sheetData>
    <row r="1" spans="1:5">
      <c r="A1" s="2" t="s">
        <v>74</v>
      </c>
      <c r="B1" s="2" t="s">
        <v>75</v>
      </c>
      <c r="C1" s="2" t="s">
        <v>76</v>
      </c>
      <c r="D1" s="2" t="s">
        <v>77</v>
      </c>
      <c r="E1" s="2" t="s">
        <v>78</v>
      </c>
    </row>
  </sheetData>
  <autoFilter ref="A1:E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79</v>
      </c>
      <c r="B1" s="2" t="s">
        <v>80</v>
      </c>
    </row>
    <row r="2" spans="1:2">
      <c r="A2" s="6" t="s">
        <v>81</v>
      </c>
      <c r="B2" s="6">
        <v>4</v>
      </c>
    </row>
    <row r="3" spans="1:2">
      <c r="A3" s="6" t="s">
        <v>82</v>
      </c>
      <c r="B3" s="6">
        <v>2</v>
      </c>
    </row>
    <row r="4" spans="1:2">
      <c r="A4" s="6" t="s">
        <v>83</v>
      </c>
      <c r="B4" s="6">
        <v>2</v>
      </c>
    </row>
    <row r="5" spans="1:2">
      <c r="A5" s="6" t="s">
        <v>84</v>
      </c>
      <c r="B5" s="6">
        <v>1</v>
      </c>
    </row>
    <row r="6" spans="1:2">
      <c r="A6" s="6" t="s">
        <v>85</v>
      </c>
      <c r="B6" s="6">
        <v>1</v>
      </c>
    </row>
  </sheetData>
  <autoFilter ref="A1:B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70.7109375" customWidth="1"/>
    <col min="2" max="2" width="40.7109375" customWidth="1"/>
    <col min="3" max="3" width="10.7109375" customWidth="1"/>
  </cols>
  <sheetData>
    <row r="1" spans="1:3">
      <c r="A1" s="2" t="s">
        <v>86</v>
      </c>
      <c r="B1" s="2" t="s">
        <v>79</v>
      </c>
      <c r="C1" s="2" t="s">
        <v>80</v>
      </c>
    </row>
    <row r="2" spans="1:3">
      <c r="A2" s="6" t="s">
        <v>49</v>
      </c>
      <c r="B2" s="6" t="s">
        <v>84</v>
      </c>
      <c r="C2" s="6">
        <v>1</v>
      </c>
    </row>
    <row r="3" spans="1:3">
      <c r="A3" s="6" t="s">
        <v>49</v>
      </c>
      <c r="B3" s="6" t="s">
        <v>81</v>
      </c>
      <c r="C3" s="6">
        <v>4</v>
      </c>
    </row>
    <row r="4" spans="1:3">
      <c r="A4" s="6" t="s">
        <v>49</v>
      </c>
      <c r="B4" s="6" t="s">
        <v>85</v>
      </c>
      <c r="C4" s="6">
        <v>1</v>
      </c>
    </row>
    <row r="5" spans="1:3">
      <c r="A5" s="6" t="s">
        <v>49</v>
      </c>
      <c r="B5" s="6" t="s">
        <v>83</v>
      </c>
      <c r="C5" s="6">
        <v>2</v>
      </c>
    </row>
    <row r="6" spans="1:3">
      <c r="A6" s="6" t="s">
        <v>49</v>
      </c>
      <c r="B6" s="6" t="s">
        <v>82</v>
      </c>
      <c r="C6" s="6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80.7109375" customWidth="1"/>
    <col min="2" max="6" width="15.7109375" customWidth="1"/>
  </cols>
  <sheetData>
    <row r="1" spans="1:6">
      <c r="A1" s="2" t="s">
        <v>86</v>
      </c>
      <c r="B1" s="7" t="s">
        <v>81</v>
      </c>
      <c r="C1" s="7" t="s">
        <v>82</v>
      </c>
      <c r="D1" s="7" t="s">
        <v>83</v>
      </c>
      <c r="E1" s="7" t="s">
        <v>84</v>
      </c>
      <c r="F1" s="7" t="s">
        <v>85</v>
      </c>
    </row>
    <row r="2" spans="1:6">
      <c r="A2" s="6" t="s">
        <v>49</v>
      </c>
      <c r="B2" s="6">
        <v>4</v>
      </c>
      <c r="C2" s="6">
        <v>2</v>
      </c>
      <c r="D2" s="6">
        <v>2</v>
      </c>
      <c r="E2" s="6">
        <v>1</v>
      </c>
      <c r="F2" s="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3" width="30.7109375" customWidth="1"/>
  </cols>
  <sheetData>
    <row r="1" spans="1:3">
      <c r="A1" s="7" t="s">
        <v>87</v>
      </c>
      <c r="B1" s="7" t="s">
        <v>88</v>
      </c>
      <c r="C1" s="7" t="s">
        <v>89</v>
      </c>
    </row>
    <row r="2" spans="1:3">
      <c r="A2" s="6" t="s">
        <v>49</v>
      </c>
      <c r="B2" s="6" t="s">
        <v>90</v>
      </c>
      <c r="C2" s="6">
        <v>3</v>
      </c>
    </row>
    <row r="3" spans="1:3">
      <c r="A3" s="6" t="s">
        <v>49</v>
      </c>
      <c r="B3" s="6" t="s">
        <v>91</v>
      </c>
      <c r="C3" s="6">
        <v>8</v>
      </c>
    </row>
    <row r="4" spans="1:3">
      <c r="A4" s="6" t="s">
        <v>49</v>
      </c>
      <c r="B4" s="6" t="s">
        <v>92</v>
      </c>
      <c r="C4" s="6">
        <v>3</v>
      </c>
    </row>
    <row r="5" spans="1:3">
      <c r="A5" s="6" t="s">
        <v>49</v>
      </c>
      <c r="B5" s="6" t="s">
        <v>93</v>
      </c>
      <c r="C5" s="6">
        <v>3</v>
      </c>
    </row>
    <row r="6" spans="1:3">
      <c r="A6" s="6" t="s">
        <v>49</v>
      </c>
      <c r="B6" s="6" t="s">
        <v>94</v>
      </c>
      <c r="C6" s="6">
        <v>3</v>
      </c>
    </row>
    <row r="7" spans="1:3">
      <c r="A7" s="6" t="s">
        <v>49</v>
      </c>
      <c r="B7" s="6" t="s">
        <v>95</v>
      </c>
      <c r="C7" s="6">
        <v>3</v>
      </c>
    </row>
  </sheetData>
  <autoFilter ref="A1:C7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</cols>
  <sheetData>
    <row r="1" spans="1:2">
      <c r="A1" s="2" t="s">
        <v>96</v>
      </c>
      <c r="B1" s="2" t="s">
        <v>58</v>
      </c>
    </row>
    <row r="2" spans="1:2">
      <c r="A2" s="6" t="s">
        <v>81</v>
      </c>
      <c r="B2" s="6">
        <v>1</v>
      </c>
    </row>
  </sheetData>
  <autoFilter ref="A1:B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SQL Programs</vt:lpstr>
      <vt:lpstr>SQL Script Categories</vt:lpstr>
      <vt:lpstr>UNKNOWN SQL Category</vt:lpstr>
      <vt:lpstr>SQL Special Patterns</vt:lpstr>
      <vt:lpstr>Functions</vt:lpstr>
      <vt:lpstr>Functions by Script</vt:lpstr>
      <vt:lpstr>Scripts Functions Xref</vt:lpstr>
      <vt:lpstr>RAW_PROGRAM_PARAM_LIST</vt:lpstr>
      <vt:lpstr>SQL Data 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2025-11-20T08:34:58Z</dcterms:created>
  <dcterms:modified xsi:type="dcterms:W3CDTF">2025-11-20T08:34:58Z</dcterms:modified>
</cp:coreProperties>
</file>